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ejkallakuri/Desktop/"/>
    </mc:Choice>
  </mc:AlternateContent>
  <xr:revisionPtr revIDLastSave="0" documentId="8_{515CCEB8-E314-4048-B7A0-C5E27523EC32}" xr6:coauthVersionLast="47" xr6:coauthVersionMax="47" xr10:uidLastSave="{00000000-0000-0000-0000-000000000000}"/>
  <bookViews>
    <workbookView xWindow="1100" yWindow="820" windowWidth="28040" windowHeight="17440" xr2:uid="{D998023B-7C1A-FA42-BF40-B3F0789BE406}"/>
  </bookViews>
  <sheets>
    <sheet name="ViT-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1" i="1"/>
  <c r="R10" i="1"/>
  <c r="N12" i="1"/>
  <c r="N11" i="1"/>
  <c r="N10" i="1"/>
  <c r="J12" i="1"/>
  <c r="J11" i="1"/>
  <c r="J10" i="1"/>
  <c r="O6" i="1"/>
  <c r="J6" i="1"/>
  <c r="N6" i="1"/>
  <c r="M6" i="1"/>
  <c r="L6" i="1"/>
  <c r="K6" i="1"/>
  <c r="J4" i="1"/>
  <c r="J3" i="1"/>
  <c r="C8" i="1"/>
  <c r="C5" i="1"/>
  <c r="R13" i="1" l="1"/>
  <c r="N13" i="1"/>
  <c r="P6" i="1"/>
  <c r="P7" i="1" s="1"/>
  <c r="J13" i="1"/>
  <c r="J16" i="1" l="1"/>
</calcChain>
</file>

<file path=xl/sharedStrings.xml><?xml version="1.0" encoding="utf-8"?>
<sst xmlns="http://schemas.openxmlformats.org/spreadsheetml/2006/main" count="41" uniqueCount="29">
  <si>
    <t>Model
Params.</t>
  </si>
  <si>
    <t>#. Patches
(N)</t>
  </si>
  <si>
    <t>Embd. Dim.
(D)</t>
  </si>
  <si>
    <t>Input size</t>
  </si>
  <si>
    <t>Patch size</t>
  </si>
  <si>
    <t>Attn. Hidden
(d)</t>
  </si>
  <si>
    <t>#. Heads
(H)</t>
  </si>
  <si>
    <t>HW
Config.</t>
  </si>
  <si>
    <t>Quant</t>
  </si>
  <si>
    <t>BRAMs</t>
  </si>
  <si>
    <t>Weights</t>
  </si>
  <si>
    <t>Inputs</t>
  </si>
  <si>
    <t>Act.</t>
  </si>
  <si>
    <t>Self Attn.  =&gt; X(N x D) * W(D x d)</t>
  </si>
  <si>
    <t>BRAMs
(per head)</t>
  </si>
  <si>
    <t>Q</t>
  </si>
  <si>
    <t>K</t>
  </si>
  <si>
    <t>V</t>
  </si>
  <si>
    <t>S (num)
(K.V) outer</t>
  </si>
  <si>
    <t>K* (den')</t>
  </si>
  <si>
    <t>O</t>
  </si>
  <si>
    <t>Total
Act.</t>
  </si>
  <si>
    <t>Total BRAM (per Head per Tx. Layer)</t>
  </si>
  <si>
    <t>Total BRAM L0</t>
  </si>
  <si>
    <t>Total BRAM L1</t>
  </si>
  <si>
    <t>Linear1 =&gt; X(N x D) * W(D x 4D)</t>
  </si>
  <si>
    <t>Linear2 =&gt; X(N x 4D) * W(4D x D)</t>
  </si>
  <si>
    <t>Linear0 =&gt; X(N x D) * W(D x D)</t>
  </si>
  <si>
    <t>Total BRAM*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</si>
</sst>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82E4-4F54-1A45-B092-CA76AFD13C3D}">
  <dimension ref="B2:R17"/>
  <sheetViews>
    <sheetView tabSelected="1" zoomScale="110" zoomScaleNormal="110" workbookViewId="0">
      <selection activeCell="L23" sqref="L23"/>
    </sheetView>
  </sheetViews>
  <sheetFormatPr baseColWidth="10" defaultRowHeight="16" x14ac:dyDescent="0.2"/>
  <cols>
    <col min="1" max="13" width="10.83203125" style="1"/>
    <col min="14" max="14" width="12.6640625" style="1" bestFit="1" customWidth="1"/>
    <col min="15" max="16384" width="10.83203125" style="1"/>
  </cols>
  <sheetData>
    <row r="2" spans="2:18" ht="34" customHeight="1" x14ac:dyDescent="0.2">
      <c r="B2" s="6" t="s">
        <v>0</v>
      </c>
      <c r="C2" s="6"/>
      <c r="E2" s="7" t="s">
        <v>7</v>
      </c>
      <c r="F2" s="7"/>
      <c r="H2" s="8" t="s">
        <v>13</v>
      </c>
      <c r="I2" s="8"/>
      <c r="J2" s="8"/>
      <c r="K2" s="8"/>
      <c r="L2" s="8"/>
      <c r="M2" s="8"/>
      <c r="N2" s="8"/>
      <c r="O2" s="8"/>
      <c r="P2" s="8"/>
    </row>
    <row r="3" spans="2:18" ht="16" customHeight="1" x14ac:dyDescent="0.2">
      <c r="B3" s="3" t="s">
        <v>3</v>
      </c>
      <c r="C3" s="4">
        <v>224</v>
      </c>
      <c r="E3" s="3" t="s">
        <v>8</v>
      </c>
      <c r="F3" s="4">
        <v>8</v>
      </c>
      <c r="H3" s="3" t="s">
        <v>10</v>
      </c>
      <c r="I3" s="2" t="s">
        <v>14</v>
      </c>
      <c r="J3" s="9">
        <f>((((((C6*C8)*3)*F3)/8)/1024)/1024)</f>
        <v>0.140625</v>
      </c>
      <c r="K3" s="9"/>
      <c r="L3" s="9"/>
      <c r="M3" s="9"/>
      <c r="N3" s="9"/>
      <c r="O3" s="9"/>
      <c r="P3" s="9"/>
    </row>
    <row r="4" spans="2:18" x14ac:dyDescent="0.2">
      <c r="B4" s="3" t="s">
        <v>4</v>
      </c>
      <c r="C4" s="4">
        <v>16</v>
      </c>
      <c r="H4" s="3" t="s">
        <v>11</v>
      </c>
      <c r="I4" s="2"/>
      <c r="J4" s="9">
        <f>(((((C5*C8)*F3)/8)/1024)/1024)</f>
        <v>1.1962890625E-2</v>
      </c>
      <c r="K4" s="9"/>
      <c r="L4" s="9"/>
      <c r="M4" s="9"/>
      <c r="N4" s="9"/>
      <c r="O4" s="9"/>
      <c r="P4" s="9"/>
    </row>
    <row r="5" spans="2:18" ht="34" x14ac:dyDescent="0.2">
      <c r="B5" s="5" t="s">
        <v>1</v>
      </c>
      <c r="C5" s="4">
        <f>(C3*C3)/(C4*C4)</f>
        <v>196</v>
      </c>
      <c r="H5" s="10" t="s">
        <v>12</v>
      </c>
      <c r="I5" s="2"/>
      <c r="J5" s="3" t="s">
        <v>15</v>
      </c>
      <c r="K5" s="3" t="s">
        <v>16</v>
      </c>
      <c r="L5" s="3" t="s">
        <v>17</v>
      </c>
      <c r="M5" s="5" t="s">
        <v>18</v>
      </c>
      <c r="N5" s="3" t="s">
        <v>19</v>
      </c>
      <c r="O5" s="3" t="s">
        <v>20</v>
      </c>
      <c r="P5" s="5" t="s">
        <v>21</v>
      </c>
    </row>
    <row r="6" spans="2:18" ht="34" x14ac:dyDescent="0.2">
      <c r="B6" s="5" t="s">
        <v>2</v>
      </c>
      <c r="C6" s="4">
        <v>768</v>
      </c>
      <c r="H6" s="10"/>
      <c r="I6" s="2"/>
      <c r="J6" s="4">
        <f>(((((C5*C8)*F3)/8)/1024)/1024)</f>
        <v>1.1962890625E-2</v>
      </c>
      <c r="K6" s="4">
        <f>(((((C5*C8)*F3)/8)/1024)/1024)</f>
        <v>1.1962890625E-2</v>
      </c>
      <c r="L6" s="4">
        <f>(((((C5*C8)*F3)/8)/1024)/1024)</f>
        <v>1.1962890625E-2</v>
      </c>
      <c r="M6" s="4">
        <f>((((C8*C8)*F3)/8)/1024)/1024</f>
        <v>3.90625E-3</v>
      </c>
      <c r="N6" s="4">
        <f>((((C8*F3)/8)/1024)/1024)</f>
        <v>6.103515625E-5</v>
      </c>
      <c r="O6" s="4">
        <f>(((((C5*C8)*F3)/8)/1024)/1024)</f>
        <v>1.1962890625E-2</v>
      </c>
      <c r="P6" s="4">
        <f xml:space="preserve"> SUM(J6:O6)</f>
        <v>5.181884765625E-2</v>
      </c>
    </row>
    <row r="7" spans="2:18" ht="34" x14ac:dyDescent="0.2">
      <c r="B7" s="5" t="s">
        <v>6</v>
      </c>
      <c r="C7" s="4">
        <v>12</v>
      </c>
      <c r="H7" s="10" t="s">
        <v>22</v>
      </c>
      <c r="I7" s="10"/>
      <c r="J7" s="10"/>
      <c r="K7" s="10"/>
      <c r="L7" s="10"/>
      <c r="M7" s="10"/>
      <c r="N7" s="10"/>
      <c r="O7" s="10"/>
      <c r="P7" s="4">
        <f xml:space="preserve"> J3+J4+P6</f>
        <v>0.20440673828125</v>
      </c>
    </row>
    <row r="8" spans="2:18" ht="51" x14ac:dyDescent="0.2">
      <c r="B8" s="5" t="s">
        <v>5</v>
      </c>
      <c r="C8" s="4">
        <f>C6/C7</f>
        <v>64</v>
      </c>
    </row>
    <row r="9" spans="2:18" x14ac:dyDescent="0.2">
      <c r="H9" s="11" t="s">
        <v>25</v>
      </c>
      <c r="I9" s="11"/>
      <c r="J9" s="11"/>
      <c r="L9" s="11" t="s">
        <v>26</v>
      </c>
      <c r="M9" s="11"/>
      <c r="N9" s="11"/>
      <c r="P9" s="11" t="s">
        <v>27</v>
      </c>
      <c r="Q9" s="11"/>
      <c r="R9" s="11"/>
    </row>
    <row r="10" spans="2:18" x14ac:dyDescent="0.2">
      <c r="H10" s="3" t="s">
        <v>10</v>
      </c>
      <c r="I10" s="10" t="s">
        <v>9</v>
      </c>
      <c r="J10" s="4">
        <f>((((C6*(4*C6))*F3)/8)/1024)/1024</f>
        <v>2.25</v>
      </c>
      <c r="L10" s="3" t="s">
        <v>10</v>
      </c>
      <c r="M10" s="10" t="s">
        <v>9</v>
      </c>
      <c r="N10" s="4">
        <f>((((C6*(4*C6))*F3)/8)/1024)/1024</f>
        <v>2.25</v>
      </c>
      <c r="P10" s="3" t="s">
        <v>10</v>
      </c>
      <c r="Q10" s="10" t="s">
        <v>9</v>
      </c>
      <c r="R10" s="4">
        <f>((((C6*(C6))*F3)/8)/1024)/1024</f>
        <v>0.5625</v>
      </c>
    </row>
    <row r="11" spans="2:18" x14ac:dyDescent="0.2">
      <c r="H11" s="3" t="s">
        <v>11</v>
      </c>
      <c r="I11" s="10"/>
      <c r="J11" s="4">
        <f>(((((C5*C6)*F3)/8)/1024)/1024)</f>
        <v>0.1435546875</v>
      </c>
      <c r="L11" s="3" t="s">
        <v>11</v>
      </c>
      <c r="M11" s="10"/>
      <c r="N11" s="4">
        <f>(((((C5*(4*C6))*F3)/8)/1024)/1024)</f>
        <v>0.57421875</v>
      </c>
      <c r="P11" s="3" t="s">
        <v>11</v>
      </c>
      <c r="Q11" s="10"/>
      <c r="R11" s="4">
        <f>(((((C5*(C6))*F3)/8)/1024)/1024)</f>
        <v>0.1435546875</v>
      </c>
    </row>
    <row r="12" spans="2:18" x14ac:dyDescent="0.2">
      <c r="H12" s="3" t="s">
        <v>12</v>
      </c>
      <c r="I12" s="10"/>
      <c r="J12" s="4">
        <f>(((((C5*(4*C6))*F3)/8)/1024)/1024)</f>
        <v>0.57421875</v>
      </c>
      <c r="L12" s="3" t="s">
        <v>12</v>
      </c>
      <c r="M12" s="10"/>
      <c r="N12" s="4">
        <f>(((((C5*C6)*F3)/8)/1024)/1024)</f>
        <v>0.1435546875</v>
      </c>
      <c r="P12" s="3" t="s">
        <v>12</v>
      </c>
      <c r="Q12" s="10"/>
      <c r="R12" s="4">
        <f>(((((C5*(C6))*F3)/8)/1024)/1024)</f>
        <v>0.1435546875</v>
      </c>
    </row>
    <row r="13" spans="2:18" x14ac:dyDescent="0.2">
      <c r="H13" s="10" t="s">
        <v>23</v>
      </c>
      <c r="I13" s="10"/>
      <c r="J13" s="4">
        <f xml:space="preserve"> SUM(J10:J12)</f>
        <v>2.9677734375</v>
      </c>
      <c r="L13" s="10" t="s">
        <v>24</v>
      </c>
      <c r="M13" s="10"/>
      <c r="N13" s="4">
        <f>SUM(N10:N12)</f>
        <v>2.9677734375</v>
      </c>
      <c r="P13" s="10" t="s">
        <v>24</v>
      </c>
      <c r="Q13" s="10"/>
      <c r="R13" s="4">
        <f>SUM(R10:R12)</f>
        <v>0.849609375</v>
      </c>
    </row>
    <row r="16" spans="2:18" x14ac:dyDescent="0.2">
      <c r="H16" s="12" t="s">
        <v>28</v>
      </c>
      <c r="I16" s="12"/>
      <c r="J16" s="9">
        <f>P7+J13+N13+R13</f>
        <v>6.98956298828125</v>
      </c>
    </row>
    <row r="17" spans="8:10" x14ac:dyDescent="0.2">
      <c r="H17" s="12"/>
      <c r="I17" s="12"/>
      <c r="J17" s="9"/>
    </row>
  </sheetData>
  <mergeCells count="19">
    <mergeCell ref="P9:R9"/>
    <mergeCell ref="Q10:Q12"/>
    <mergeCell ref="P13:Q13"/>
    <mergeCell ref="H16:I17"/>
    <mergeCell ref="J16:J17"/>
    <mergeCell ref="I10:I12"/>
    <mergeCell ref="H9:J9"/>
    <mergeCell ref="L9:N9"/>
    <mergeCell ref="M10:M12"/>
    <mergeCell ref="H13:I13"/>
    <mergeCell ref="L13:M13"/>
    <mergeCell ref="J3:P3"/>
    <mergeCell ref="J4:P4"/>
    <mergeCell ref="H2:P2"/>
    <mergeCell ref="H7:O7"/>
    <mergeCell ref="B2:C2"/>
    <mergeCell ref="E2:F2"/>
    <mergeCell ref="H5:H6"/>
    <mergeCell ref="I3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Utteja Panchakshara Kallakuri Niyogi</dc:creator>
  <cp:lastModifiedBy>Utteja Panchakshara Kallakuri Niyogi</cp:lastModifiedBy>
  <dcterms:created xsi:type="dcterms:W3CDTF">2025-11-10T16:45:21Z</dcterms:created>
  <dcterms:modified xsi:type="dcterms:W3CDTF">2025-11-12T22:23:48Z</dcterms:modified>
</cp:coreProperties>
</file>